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15F6196-2572-46E3-9A27-0A1D6D960620}" xr6:coauthVersionLast="47" xr6:coauthVersionMax="47" xr10:uidLastSave="{00000000-0000-0000-0000-000000000000}"/>
  <bookViews>
    <workbookView xWindow="10140" yWindow="0" windowWidth="10455" windowHeight="10905" xr2:uid="{8C6C29E9-50B5-43DB-8E07-0C88F8890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2" i="1"/>
  <c r="C19" i="1"/>
  <c r="C20" i="1"/>
  <c r="D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<sst xmlns="http://schemas.openxmlformats.org/spreadsheetml/2006/main" count="32" uniqueCount="25">
  <si>
    <t>Student</t>
  </si>
  <si>
    <t>Subject</t>
  </si>
  <si>
    <t>Marks</t>
  </si>
  <si>
    <t>A</t>
  </si>
  <si>
    <t>Math</t>
  </si>
  <si>
    <t>B</t>
  </si>
  <si>
    <t>Science</t>
  </si>
  <si>
    <t>C</t>
  </si>
  <si>
    <t>D</t>
  </si>
  <si>
    <t>English</t>
  </si>
  <si>
    <t>E</t>
  </si>
  <si>
    <t>F</t>
  </si>
  <si>
    <t>G</t>
  </si>
  <si>
    <t>H</t>
  </si>
  <si>
    <t>I</t>
  </si>
  <si>
    <t>J</t>
  </si>
  <si>
    <t>Sum</t>
  </si>
  <si>
    <t>Avg.</t>
  </si>
  <si>
    <t>Max</t>
  </si>
  <si>
    <t>Min</t>
  </si>
  <si>
    <t>Count</t>
  </si>
  <si>
    <t>CountA</t>
  </si>
  <si>
    <t>Countifs</t>
  </si>
  <si>
    <t>Sumif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</si>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</sst>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D62E-9A4B-45A4-A24B-318794E62640}">
  <dimension ref="A1:D23"/>
  <sheetViews>
    <sheetView tabSelected="1" topLeftCell="A7" workbookViewId="0">
      <selection activeCell="B24" sqref="B24"/>
    </sheetView>
  </sheetViews>
  <sheetFormatPr defaultRowHeight="15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85</v>
      </c>
    </row>
    <row r="3" spans="1:3" x14ac:dyDescent="0.25">
      <c r="A3" s="2" t="s">
        <v>5</v>
      </c>
      <c r="B3" s="2" t="s">
        <v>6</v>
      </c>
      <c r="C3" s="2">
        <v>92</v>
      </c>
    </row>
    <row r="4" spans="1:3" x14ac:dyDescent="0.25">
      <c r="A4" s="2" t="s">
        <v>7</v>
      </c>
      <c r="B4" s="2" t="s">
        <v>4</v>
      </c>
      <c r="C4" s="2">
        <v>78</v>
      </c>
    </row>
    <row r="5" spans="1:3" x14ac:dyDescent="0.25">
      <c r="A5" s="2" t="s">
        <v>8</v>
      </c>
      <c r="B5" s="2" t="s">
        <v>9</v>
      </c>
      <c r="C5" s="2">
        <v>88</v>
      </c>
    </row>
    <row r="6" spans="1:3" x14ac:dyDescent="0.25">
      <c r="A6" s="2" t="s">
        <v>10</v>
      </c>
      <c r="B6" s="2" t="s">
        <v>6</v>
      </c>
      <c r="C6" s="2">
        <v>95</v>
      </c>
    </row>
    <row r="7" spans="1:3" x14ac:dyDescent="0.25">
      <c r="A7" s="2" t="s">
        <v>11</v>
      </c>
      <c r="B7" s="2" t="s">
        <v>4</v>
      </c>
      <c r="C7" s="2">
        <v>65</v>
      </c>
    </row>
    <row r="8" spans="1:3" x14ac:dyDescent="0.25">
      <c r="A8" s="2" t="s">
        <v>12</v>
      </c>
      <c r="B8" s="2" t="s">
        <v>9</v>
      </c>
      <c r="C8" s="2">
        <v>80</v>
      </c>
    </row>
    <row r="9" spans="1:3" x14ac:dyDescent="0.25">
      <c r="A9" s="2" t="s">
        <v>13</v>
      </c>
      <c r="B9" s="2" t="s">
        <v>6</v>
      </c>
      <c r="C9" s="2">
        <v>75</v>
      </c>
    </row>
    <row r="10" spans="1:3" x14ac:dyDescent="0.25">
      <c r="A10" s="2" t="s">
        <v>14</v>
      </c>
      <c r="B10" s="2" t="s">
        <v>4</v>
      </c>
      <c r="C10" s="2">
        <v>90</v>
      </c>
    </row>
    <row r="11" spans="1:3" x14ac:dyDescent="0.25">
      <c r="A11" s="2" t="s">
        <v>15</v>
      </c>
      <c r="B11" s="2" t="s">
        <v>9</v>
      </c>
      <c r="C11" s="2">
        <v>70</v>
      </c>
    </row>
    <row r="13" spans="1:3" x14ac:dyDescent="0.25">
      <c r="B13" s="2" t="s">
        <v>16</v>
      </c>
      <c r="C13">
        <f>SUM(C2:C11)</f>
        <v>818</v>
      </c>
    </row>
    <row r="14" spans="1:3" x14ac:dyDescent="0.25">
      <c r="B14" s="2" t="s">
        <v>17</v>
      </c>
      <c r="C14">
        <f>AVERAGE(C2:C11)</f>
        <v>81.8</v>
      </c>
    </row>
    <row r="15" spans="1:3" x14ac:dyDescent="0.25">
      <c r="B15" s="2" t="s">
        <v>18</v>
      </c>
      <c r="C15">
        <f>MAX(C2:C11)</f>
        <v>95</v>
      </c>
    </row>
    <row r="16" spans="1:3" x14ac:dyDescent="0.25">
      <c r="B16" s="2" t="s">
        <v>19</v>
      </c>
      <c r="C16">
        <f>MIN(C2:C11)</f>
        <v>65</v>
      </c>
    </row>
    <row r="17" spans="2:4" x14ac:dyDescent="0.25">
      <c r="B17" s="2" t="s">
        <v>20</v>
      </c>
      <c r="C17">
        <f>COUNT(C2:C11)</f>
        <v>10</v>
      </c>
    </row>
    <row r="18" spans="2:4" x14ac:dyDescent="0.25">
      <c r="B18" s="2" t="s">
        <v>21</v>
      </c>
      <c r="C18">
        <f>COUNTA(A2:A11)</f>
        <v>10</v>
      </c>
    </row>
    <row r="19" spans="2:4" x14ac:dyDescent="0.25">
      <c r="B19" s="2" t="s">
        <v>22</v>
      </c>
      <c r="C19">
        <f>COUNTIFS(B2:B11,"science",C2:C11,"&gt;80")</f>
        <v>2</v>
      </c>
      <c r="D19">
        <f>COUNTIF(B2:B11,"Math")</f>
        <v>4</v>
      </c>
    </row>
    <row r="20" spans="2:4" x14ac:dyDescent="0.25">
      <c r="C20">
        <f>COUNTIF(B2:B11,"Math")</f>
        <v>4</v>
      </c>
    </row>
    <row r="22" spans="2:4" x14ac:dyDescent="0.25">
      <c r="B22" s="2" t="s">
        <v>23</v>
      </c>
      <c r="C22">
        <f>SUMIF(B2:B11,"Science",C2:C11)</f>
        <v>262</v>
      </c>
    </row>
    <row r="23" spans="2:4" x14ac:dyDescent="0.25">
      <c r="B23" s="2" t="s">
        <v>24</v>
      </c>
      <c r="C23">
        <f>AVERAGEIFS(C2:C11,B2:B11,"English",C2:C11,"&gt;75")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kanishka14jindal@gmail.com</dc:creator>
  <cp:lastModifiedBy>kanishka14jindal@gmail.com</cp:lastModifiedBy>
  <dcterms:created xsi:type="dcterms:W3CDTF">2026-06-22T07:18:13Z</dcterms:created>
  <dcterms:modified xsi:type="dcterms:W3CDTF">2026-06-22T07:34:35Z</dcterms:modified>
</cp:coreProperties>
</file>